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Rec Deflators\"/>
    </mc:Choice>
  </mc:AlternateContent>
  <xr:revisionPtr revIDLastSave="0" documentId="13_ncr:1_{7C2BD601-E501-4A92-9C1A-D39B08A56A5E}" xr6:coauthVersionLast="47" xr6:coauthVersionMax="47" xr10:uidLastSave="{00000000-0000-0000-0000-000000000000}"/>
  <bookViews>
    <workbookView xWindow="-46188" yWindow="-96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" i="1" l="1"/>
  <c r="I28" i="1"/>
  <c r="I29" i="1"/>
  <c r="I30" i="1"/>
  <c r="I26" i="1"/>
  <c r="O29" i="1"/>
  <c r="L27" i="1"/>
  <c r="L28" i="1"/>
  <c r="L29" i="1"/>
  <c r="L30" i="1"/>
  <c r="L26" i="1"/>
  <c r="F28" i="1" l="1"/>
  <c r="F27" i="1"/>
  <c r="O27" i="1" s="1"/>
  <c r="F26" i="1"/>
  <c r="O26" i="1" s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0" i="1" l="1"/>
  <c r="O30" i="1" s="1"/>
  <c r="O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Scott.Steinback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Scott.Steinback:</t>
        </r>
        <r>
          <rPr>
            <sz val="9"/>
            <color indexed="81"/>
            <rFont val="Tahoma"/>
            <charset val="1"/>
          </rPr>
          <t xml:space="preserve">
Purchased the 2019 IMPLAN data and Other Amusement and Recreation Industries is now sector 504</t>
        </r>
      </text>
    </comment>
  </commentList>
</comments>
</file>

<file path=xl/sharedStrings.xml><?xml version="1.0" encoding="utf-8"?>
<sst xmlns="http://schemas.openxmlformats.org/spreadsheetml/2006/main" count="16" uniqueCount="16">
  <si>
    <t>BEA/BLS Output Deflators from IMPLAN for "All other Amusement and Recreation Industries"</t>
  </si>
  <si>
    <t>Year</t>
  </si>
  <si>
    <t>IMPLAN Sector</t>
  </si>
  <si>
    <t>NAICS Sector</t>
  </si>
  <si>
    <t>2017$ Value</t>
  </si>
  <si>
    <t>2021$ Value</t>
  </si>
  <si>
    <t>2022$ Value</t>
  </si>
  <si>
    <t>Check 2017 (5-20-2025)</t>
  </si>
  <si>
    <t>Check 2021 (5-20-2025)</t>
  </si>
  <si>
    <t>Check 2022 (5-20-2025)</t>
  </si>
  <si>
    <t>Source: IMPLAN</t>
  </si>
  <si>
    <t>DATA LIBRARY&gt;EXPLORES</t>
  </si>
  <si>
    <t>Fact Deflators Data Year = YYYY$ Value</t>
  </si>
  <si>
    <t>Fact Deflators Entity = 504</t>
  </si>
  <si>
    <t>Fact Deflators Dollar Year=Year</t>
  </si>
  <si>
    <t>Fact Deflators Aggregation Scheme Param=546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</si>
</sst>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6"/>
      <color rgb="FF545556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1" applyFont="1" applyAlignment="1">
      <alignment horizontal="right" wrapText="1"/>
    </xf>
    <xf numFmtId="0" fontId="2" fillId="0" borderId="3" xfId="1" applyFont="1" applyBorder="1" applyAlignment="1">
      <alignment horizontal="right" wrapText="1"/>
    </xf>
    <xf numFmtId="0" fontId="2" fillId="0" borderId="3" xfId="2" applyFont="1" applyBorder="1" applyAlignment="1">
      <alignment horizontal="right" wrapText="1"/>
    </xf>
    <xf numFmtId="0" fontId="7" fillId="0" borderId="0" xfId="3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7" fillId="0" borderId="0" xfId="3" applyAlignment="1">
      <alignment vertical="center" wrapText="1"/>
    </xf>
    <xf numFmtId="0" fontId="0" fillId="0" borderId="0" xfId="0" applyAlignment="1">
      <alignment horizontal="center"/>
    </xf>
    <xf numFmtId="0" fontId="7" fillId="0" borderId="0" xfId="3"/>
    <xf numFmtId="0" fontId="2" fillId="3" borderId="3" xfId="2" applyFont="1" applyFill="1" applyBorder="1" applyAlignment="1">
      <alignment horizontal="right" wrapText="1"/>
    </xf>
    <xf numFmtId="0" fontId="0" fillId="0" borderId="0" xfId="0" applyAlignment="1">
      <alignment horizontal="center"/>
    </xf>
    <xf numFmtId="0" fontId="0" fillId="0" borderId="0" xfId="0" applyFill="1"/>
  </cellXfs>
  <cellStyles count="4">
    <cellStyle name="Hyperlink" xfId="3" builtinId="8"/>
    <cellStyle name="Normal" xfId="0" builtinId="0"/>
    <cellStyle name="Normal_Calculations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topLeftCell="A16" workbookViewId="0">
      <selection activeCell="F32" sqref="F32"/>
    </sheetView>
  </sheetViews>
  <sheetFormatPr defaultRowHeight="15" x14ac:dyDescent="0.25"/>
  <cols>
    <col min="1" max="1" width="79.5703125" bestFit="1" customWidth="1"/>
    <col min="2" max="2" width="13.140625" bestFit="1" customWidth="1"/>
    <col min="3" max="3" width="11.42578125" bestFit="1" customWidth="1"/>
    <col min="4" max="5" width="11.85546875" bestFit="1" customWidth="1"/>
    <col min="6" max="6" width="11.42578125" bestFit="1" customWidth="1"/>
    <col min="8" max="8" width="10.140625" bestFit="1" customWidth="1"/>
    <col min="9" max="10" width="10.140625" customWidth="1"/>
    <col min="11" max="11" width="10.140625" bestFit="1" customWidth="1"/>
    <col min="12" max="13" width="10.140625" customWidth="1"/>
    <col min="14" max="14" width="11.85546875" bestFit="1" customWidth="1"/>
  </cols>
  <sheetData>
    <row r="1" spans="1:17" x14ac:dyDescent="0.25">
      <c r="A1" t="s">
        <v>0</v>
      </c>
    </row>
    <row r="2" spans="1:17" x14ac:dyDescent="0.2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</row>
    <row r="3" spans="1:17" x14ac:dyDescent="0.25">
      <c r="A3" s="4"/>
      <c r="B3" s="4"/>
      <c r="C3" s="4"/>
      <c r="D3" s="4"/>
      <c r="E3" s="4"/>
      <c r="F3" s="5"/>
      <c r="I3" t="s">
        <v>10</v>
      </c>
    </row>
    <row r="4" spans="1:17" x14ac:dyDescent="0.25">
      <c r="A4" s="6">
        <v>1997</v>
      </c>
      <c r="B4" s="7">
        <v>496</v>
      </c>
      <c r="C4" s="7">
        <v>713990</v>
      </c>
      <c r="D4" s="4">
        <v>0.68822295372999998</v>
      </c>
      <c r="E4">
        <v>0.60987394476993495</v>
      </c>
      <c r="F4" s="8">
        <f t="shared" ref="F4:F26" si="0">1-(E$29-E4)</f>
        <v>0.60344127298202499</v>
      </c>
      <c r="I4" t="s">
        <v>11</v>
      </c>
    </row>
    <row r="5" spans="1:17" x14ac:dyDescent="0.25">
      <c r="A5" s="7">
        <v>1998</v>
      </c>
      <c r="B5" s="7">
        <v>496</v>
      </c>
      <c r="C5" s="7">
        <v>713990</v>
      </c>
      <c r="D5" s="7">
        <v>0.712891283947508</v>
      </c>
      <c r="E5">
        <v>0.63125734338640804</v>
      </c>
      <c r="F5" s="8">
        <f t="shared" si="0"/>
        <v>0.62482467159849808</v>
      </c>
    </row>
    <row r="6" spans="1:17" x14ac:dyDescent="0.25">
      <c r="A6" s="7">
        <v>1999</v>
      </c>
      <c r="B6" s="7">
        <v>496</v>
      </c>
      <c r="C6" s="7">
        <v>713990</v>
      </c>
      <c r="D6" s="7">
        <v>0.73450088558089999</v>
      </c>
      <c r="E6">
        <v>0.64943025164907298</v>
      </c>
      <c r="F6" s="8">
        <f t="shared" si="0"/>
        <v>0.64299757986116302</v>
      </c>
      <c r="I6" t="s">
        <v>12</v>
      </c>
    </row>
    <row r="7" spans="1:17" x14ac:dyDescent="0.25">
      <c r="A7" s="7">
        <v>2000</v>
      </c>
      <c r="B7" s="7">
        <v>496</v>
      </c>
      <c r="C7" s="7">
        <v>713990</v>
      </c>
      <c r="D7" s="7">
        <v>0.75790602405147101</v>
      </c>
      <c r="E7">
        <v>0.66605326801679698</v>
      </c>
      <c r="F7" s="8">
        <f t="shared" si="0"/>
        <v>0.65962059622888702</v>
      </c>
      <c r="I7" t="s">
        <v>13</v>
      </c>
      <c r="K7" s="13"/>
    </row>
    <row r="8" spans="1:17" x14ac:dyDescent="0.25">
      <c r="A8" s="7">
        <v>2001</v>
      </c>
      <c r="B8" s="7">
        <v>496</v>
      </c>
      <c r="C8" s="7">
        <v>713990</v>
      </c>
      <c r="D8" s="7">
        <v>0.77407487838426403</v>
      </c>
      <c r="E8">
        <v>0.68286363395423899</v>
      </c>
      <c r="F8" s="8">
        <f t="shared" si="0"/>
        <v>0.67643096216632903</v>
      </c>
      <c r="I8" t="s">
        <v>14</v>
      </c>
    </row>
    <row r="9" spans="1:17" x14ac:dyDescent="0.25">
      <c r="A9" s="7">
        <v>2002</v>
      </c>
      <c r="B9" s="7">
        <v>496</v>
      </c>
      <c r="C9" s="7">
        <v>713990</v>
      </c>
      <c r="D9" s="7">
        <v>0.78358490766259203</v>
      </c>
      <c r="E9">
        <v>0.69636983475301495</v>
      </c>
      <c r="F9" s="8">
        <f t="shared" si="0"/>
        <v>0.68993716296510499</v>
      </c>
      <c r="I9" t="s">
        <v>15</v>
      </c>
    </row>
    <row r="10" spans="1:17" x14ac:dyDescent="0.25">
      <c r="A10" s="7">
        <v>2003</v>
      </c>
      <c r="B10" s="7">
        <v>496</v>
      </c>
      <c r="C10" s="7">
        <v>713990</v>
      </c>
      <c r="D10" s="7">
        <v>0.80396740874394101</v>
      </c>
      <c r="E10">
        <v>0.71687609674762498</v>
      </c>
      <c r="F10" s="8">
        <f t="shared" si="0"/>
        <v>0.71044342495971502</v>
      </c>
      <c r="Q10" s="9"/>
    </row>
    <row r="11" spans="1:17" x14ac:dyDescent="0.25">
      <c r="A11" s="7">
        <v>2004</v>
      </c>
      <c r="B11" s="7">
        <v>496</v>
      </c>
      <c r="C11" s="7">
        <v>713990</v>
      </c>
      <c r="D11" s="7">
        <v>0.81520079247403399</v>
      </c>
      <c r="E11">
        <v>0.73366943090600201</v>
      </c>
      <c r="F11" s="8">
        <f t="shared" si="0"/>
        <v>0.72723675911809205</v>
      </c>
      <c r="O11" s="10"/>
      <c r="P11" s="11"/>
      <c r="Q11" s="9"/>
    </row>
    <row r="12" spans="1:17" x14ac:dyDescent="0.25">
      <c r="A12" s="7">
        <v>2005</v>
      </c>
      <c r="B12" s="7">
        <v>496</v>
      </c>
      <c r="C12" s="7">
        <v>713990</v>
      </c>
      <c r="D12" s="7">
        <v>0.83099068928340203</v>
      </c>
      <c r="E12">
        <v>0.75527424265032395</v>
      </c>
      <c r="F12" s="8">
        <f t="shared" si="0"/>
        <v>0.74884157086241399</v>
      </c>
      <c r="O12" s="10"/>
      <c r="P12" s="11"/>
      <c r="Q12" s="9"/>
    </row>
    <row r="13" spans="1:17" x14ac:dyDescent="0.25">
      <c r="A13" s="7">
        <v>2006</v>
      </c>
      <c r="B13" s="7">
        <v>496</v>
      </c>
      <c r="C13" s="7">
        <v>713990</v>
      </c>
      <c r="D13" s="7">
        <v>0.85911475120043002</v>
      </c>
      <c r="E13">
        <v>0.78195452455610204</v>
      </c>
      <c r="F13" s="8">
        <f t="shared" si="0"/>
        <v>0.77552185276819208</v>
      </c>
      <c r="O13" s="10"/>
      <c r="P13" s="11"/>
      <c r="Q13" s="9"/>
    </row>
    <row r="14" spans="1:17" x14ac:dyDescent="0.25">
      <c r="A14" s="7">
        <v>2007</v>
      </c>
      <c r="B14" s="7">
        <v>496</v>
      </c>
      <c r="C14" s="7">
        <v>713990</v>
      </c>
      <c r="D14" s="7">
        <v>0.87890174760211204</v>
      </c>
      <c r="E14">
        <v>0.80275884268435505</v>
      </c>
      <c r="F14" s="8">
        <f t="shared" si="0"/>
        <v>0.79632617089644508</v>
      </c>
      <c r="O14" s="10"/>
      <c r="P14" s="11"/>
      <c r="Q14" s="9"/>
    </row>
    <row r="15" spans="1:17" x14ac:dyDescent="0.25">
      <c r="A15" s="7">
        <v>2008</v>
      </c>
      <c r="B15" s="7">
        <v>496</v>
      </c>
      <c r="C15" s="7">
        <v>713990</v>
      </c>
      <c r="D15" s="7">
        <v>0.897190959506448</v>
      </c>
      <c r="E15">
        <v>0.81981616941824298</v>
      </c>
      <c r="F15" s="8">
        <f t="shared" si="0"/>
        <v>0.81338349763033302</v>
      </c>
    </row>
    <row r="16" spans="1:17" x14ac:dyDescent="0.25">
      <c r="A16" s="7">
        <v>2009</v>
      </c>
      <c r="B16" s="7">
        <v>496</v>
      </c>
      <c r="C16" s="7">
        <v>713990</v>
      </c>
      <c r="D16" s="7">
        <v>0.90227981767815302</v>
      </c>
      <c r="E16">
        <v>0.82036970223786498</v>
      </c>
      <c r="F16" s="8">
        <f t="shared" si="0"/>
        <v>0.81393703044995502</v>
      </c>
    </row>
    <row r="17" spans="1:15" x14ac:dyDescent="0.25">
      <c r="A17" s="7">
        <v>2010</v>
      </c>
      <c r="B17" s="7">
        <v>496</v>
      </c>
      <c r="C17" s="7">
        <v>713990</v>
      </c>
      <c r="D17" s="7">
        <v>0.89719998230462505</v>
      </c>
      <c r="E17">
        <v>0.81974804230198195</v>
      </c>
      <c r="F17" s="8">
        <f t="shared" si="0"/>
        <v>0.81331537051407199</v>
      </c>
    </row>
    <row r="18" spans="1:15" x14ac:dyDescent="0.25">
      <c r="A18" s="7">
        <v>2011</v>
      </c>
      <c r="B18" s="7">
        <v>496</v>
      </c>
      <c r="C18" s="7">
        <v>713990</v>
      </c>
      <c r="D18" s="7">
        <v>0.89935643106887497</v>
      </c>
      <c r="E18">
        <v>0.83388441892617404</v>
      </c>
      <c r="F18" s="8">
        <f t="shared" si="0"/>
        <v>0.82745174713826408</v>
      </c>
    </row>
    <row r="19" spans="1:15" x14ac:dyDescent="0.25">
      <c r="A19" s="7">
        <v>2012</v>
      </c>
      <c r="B19" s="7">
        <v>496</v>
      </c>
      <c r="C19" s="7">
        <v>713990</v>
      </c>
      <c r="D19" s="7">
        <v>0.92332098302640697</v>
      </c>
      <c r="E19">
        <v>0.85158895326454398</v>
      </c>
      <c r="F19" s="8">
        <f t="shared" si="0"/>
        <v>0.84515628147663402</v>
      </c>
    </row>
    <row r="20" spans="1:15" x14ac:dyDescent="0.25">
      <c r="A20" s="7">
        <v>2013</v>
      </c>
      <c r="B20" s="7">
        <v>496</v>
      </c>
      <c r="C20" s="7">
        <v>713990</v>
      </c>
      <c r="D20" s="7">
        <v>0.93846123836704598</v>
      </c>
      <c r="E20">
        <v>0.85617901772263905</v>
      </c>
      <c r="F20" s="8">
        <f t="shared" si="0"/>
        <v>0.84974634593472909</v>
      </c>
    </row>
    <row r="21" spans="1:15" x14ac:dyDescent="0.25">
      <c r="A21" s="7">
        <v>2014</v>
      </c>
      <c r="B21" s="7">
        <v>496</v>
      </c>
      <c r="C21" s="7">
        <v>713990</v>
      </c>
      <c r="D21" s="7">
        <v>0.95177888847597603</v>
      </c>
      <c r="E21">
        <v>0.86964263907375206</v>
      </c>
      <c r="F21" s="8">
        <f t="shared" si="0"/>
        <v>0.86320996728584209</v>
      </c>
    </row>
    <row r="22" spans="1:15" x14ac:dyDescent="0.25">
      <c r="A22" s="7">
        <v>2015</v>
      </c>
      <c r="B22" s="7">
        <v>496</v>
      </c>
      <c r="C22" s="7">
        <v>713990</v>
      </c>
      <c r="D22" s="7">
        <v>0.97743070369256602</v>
      </c>
      <c r="E22">
        <v>0.89351267743375695</v>
      </c>
      <c r="F22" s="8">
        <f t="shared" si="0"/>
        <v>0.88708000564584699</v>
      </c>
    </row>
    <row r="23" spans="1:15" x14ac:dyDescent="0.25">
      <c r="A23" s="7">
        <v>2016</v>
      </c>
      <c r="B23" s="7">
        <v>496</v>
      </c>
      <c r="C23" s="7">
        <v>713990</v>
      </c>
      <c r="D23" s="7">
        <v>0.99037841907624702</v>
      </c>
      <c r="E23">
        <v>0.90632057529085597</v>
      </c>
      <c r="F23" s="8">
        <f t="shared" si="0"/>
        <v>0.89988790350294601</v>
      </c>
    </row>
    <row r="24" spans="1:15" x14ac:dyDescent="0.25">
      <c r="A24" s="7">
        <v>2017</v>
      </c>
      <c r="B24" s="7">
        <v>496</v>
      </c>
      <c r="C24" s="7">
        <v>713990</v>
      </c>
      <c r="D24" s="7">
        <v>1</v>
      </c>
      <c r="E24">
        <v>0.90812594387177703</v>
      </c>
      <c r="F24" s="8">
        <f t="shared" si="0"/>
        <v>0.90169327208386707</v>
      </c>
    </row>
    <row r="25" spans="1:15" x14ac:dyDescent="0.25">
      <c r="A25" s="7">
        <v>2018</v>
      </c>
      <c r="B25" s="7">
        <v>496</v>
      </c>
      <c r="C25" s="7">
        <v>713990</v>
      </c>
      <c r="D25" s="7">
        <v>1.0097150551127001</v>
      </c>
      <c r="E25">
        <v>0.93600696620165802</v>
      </c>
      <c r="F25" s="8">
        <f t="shared" si="0"/>
        <v>0.92957429441374806</v>
      </c>
      <c r="H25" s="15" t="s">
        <v>7</v>
      </c>
      <c r="I25" s="15"/>
      <c r="J25" s="12"/>
      <c r="K25" s="15" t="s">
        <v>8</v>
      </c>
      <c r="L25" s="15"/>
      <c r="N25" s="15" t="s">
        <v>9</v>
      </c>
      <c r="O25" s="15"/>
    </row>
    <row r="26" spans="1:15" x14ac:dyDescent="0.25">
      <c r="A26" s="7">
        <v>2019</v>
      </c>
      <c r="B26" s="7">
        <v>496</v>
      </c>
      <c r="C26" s="7">
        <v>713990</v>
      </c>
      <c r="D26" s="7">
        <v>1.0195244925212399</v>
      </c>
      <c r="E26">
        <v>0.95963855965474898</v>
      </c>
      <c r="F26" s="8">
        <f t="shared" si="0"/>
        <v>0.95320588786683902</v>
      </c>
      <c r="H26">
        <v>1.0297834822697101</v>
      </c>
      <c r="I26">
        <f>D26-H26</f>
        <v>-1.0258989748470171E-2</v>
      </c>
      <c r="K26">
        <v>0.95963855965474898</v>
      </c>
      <c r="L26">
        <f>E26-K26</f>
        <v>0</v>
      </c>
      <c r="N26">
        <v>0.91532840597240595</v>
      </c>
      <c r="O26">
        <f>F26-N26</f>
        <v>3.7877481894433074E-2</v>
      </c>
    </row>
    <row r="27" spans="1:15" x14ac:dyDescent="0.25">
      <c r="A27" s="7">
        <v>2020</v>
      </c>
      <c r="B27" s="7">
        <v>504</v>
      </c>
      <c r="C27" s="7">
        <v>713990</v>
      </c>
      <c r="D27" s="7">
        <v>1.0343069925212398</v>
      </c>
      <c r="E27">
        <v>0.99360844300047202</v>
      </c>
      <c r="F27" s="8">
        <f>1-(E$29-E27)</f>
        <v>0.98717577121256206</v>
      </c>
      <c r="H27">
        <v>1.0450062362821699</v>
      </c>
      <c r="I27">
        <f t="shared" ref="I27:I30" si="1">D27-H27</f>
        <v>-1.0699243760930122E-2</v>
      </c>
      <c r="K27">
        <v>0.99360844300047202</v>
      </c>
      <c r="L27">
        <f t="shared" ref="L27:L30" si="2">E27-K27</f>
        <v>0</v>
      </c>
      <c r="N27">
        <v>0.97579913214273095</v>
      </c>
      <c r="O27">
        <f t="shared" ref="O27:O30" si="3">F27-N27</f>
        <v>1.1376639069831107E-2</v>
      </c>
    </row>
    <row r="28" spans="1:15" x14ac:dyDescent="0.25">
      <c r="A28" s="8">
        <v>2021</v>
      </c>
      <c r="B28" s="7">
        <v>504</v>
      </c>
      <c r="C28" s="7">
        <v>713990</v>
      </c>
      <c r="D28">
        <v>1.0493079747909499</v>
      </c>
      <c r="E28">
        <v>1</v>
      </c>
      <c r="F28" s="8">
        <f>1-(E$29-E28)</f>
        <v>0.99356732821209004</v>
      </c>
      <c r="H28">
        <v>1.0604540203555299</v>
      </c>
      <c r="I28">
        <f t="shared" si="1"/>
        <v>-1.1146045564579987E-2</v>
      </c>
      <c r="K28">
        <v>1</v>
      </c>
      <c r="L28">
        <f t="shared" si="2"/>
        <v>0</v>
      </c>
      <c r="N28">
        <v>1.00854040981856</v>
      </c>
      <c r="O28">
        <f t="shared" si="3"/>
        <v>-1.4973081606469929E-2</v>
      </c>
    </row>
    <row r="29" spans="1:15" x14ac:dyDescent="0.25">
      <c r="A29" s="8">
        <v>2022</v>
      </c>
      <c r="B29" s="7">
        <v>504</v>
      </c>
      <c r="C29" s="7">
        <v>713990</v>
      </c>
      <c r="D29">
        <v>1.0645307288034098</v>
      </c>
      <c r="E29">
        <v>1.00643267178791</v>
      </c>
      <c r="F29" s="8">
        <v>1</v>
      </c>
      <c r="H29">
        <v>1.07613016099221</v>
      </c>
      <c r="I29">
        <f t="shared" si="1"/>
        <v>-1.1599432188800218E-2</v>
      </c>
      <c r="K29">
        <v>1.00643267178791</v>
      </c>
      <c r="L29">
        <f t="shared" si="2"/>
        <v>0</v>
      </c>
      <c r="N29">
        <v>1</v>
      </c>
      <c r="O29">
        <f t="shared" si="3"/>
        <v>0</v>
      </c>
    </row>
    <row r="30" spans="1:15" x14ac:dyDescent="0.25">
      <c r="A30" s="8">
        <v>2023</v>
      </c>
      <c r="B30" s="7">
        <v>504</v>
      </c>
      <c r="C30" s="7">
        <v>713990</v>
      </c>
      <c r="D30">
        <v>1.0799785128767698</v>
      </c>
      <c r="E30">
        <v>1.01290672284217</v>
      </c>
      <c r="F30" s="8">
        <f>(E30-E28)+F28</f>
        <v>1.00647405105426</v>
      </c>
      <c r="H30">
        <v>1.09203803386863</v>
      </c>
      <c r="I30">
        <f t="shared" si="1"/>
        <v>-1.205952099186014E-2</v>
      </c>
      <c r="K30">
        <v>1.01290672284217</v>
      </c>
      <c r="L30">
        <f t="shared" si="2"/>
        <v>0</v>
      </c>
      <c r="N30">
        <v>0.991531911130761</v>
      </c>
      <c r="O30">
        <f t="shared" si="3"/>
        <v>1.494213992349902E-2</v>
      </c>
    </row>
    <row r="31" spans="1:15" x14ac:dyDescent="0.25">
      <c r="A31" s="8">
        <v>2024</v>
      </c>
      <c r="B31" s="7">
        <v>504</v>
      </c>
      <c r="C31" s="7">
        <v>713990</v>
      </c>
      <c r="D31">
        <v>1.0956546535134599</v>
      </c>
      <c r="E31" s="14">
        <v>1.0194224193419901</v>
      </c>
      <c r="F31" s="14">
        <v>0.98313553079061899</v>
      </c>
    </row>
    <row r="32" spans="1:15" x14ac:dyDescent="0.25">
      <c r="A32" s="8">
        <v>2025</v>
      </c>
      <c r="B32" s="7">
        <v>504</v>
      </c>
      <c r="C32" s="7">
        <v>713990</v>
      </c>
      <c r="D32">
        <v>1.1115625263898699</v>
      </c>
      <c r="E32" s="16">
        <v>1.0259800291788601</v>
      </c>
      <c r="F32" s="16">
        <v>0.97481025174537805</v>
      </c>
    </row>
    <row r="33" spans="1:6" x14ac:dyDescent="0.25">
      <c r="A33" s="8">
        <v>2026</v>
      </c>
      <c r="B33" s="7">
        <v>504</v>
      </c>
      <c r="C33" s="7">
        <v>713990</v>
      </c>
      <c r="D33">
        <v>1.1277055570832699</v>
      </c>
      <c r="E33" s="8"/>
      <c r="F33" s="8"/>
    </row>
    <row r="34" spans="1:6" x14ac:dyDescent="0.25">
      <c r="A34" s="8">
        <v>2027</v>
      </c>
      <c r="B34" s="7">
        <v>504</v>
      </c>
      <c r="C34" s="7">
        <v>713990</v>
      </c>
      <c r="D34">
        <v>1.14408722180945</v>
      </c>
      <c r="E34" s="8"/>
      <c r="F34" s="8"/>
    </row>
    <row r="35" spans="1:6" x14ac:dyDescent="0.25">
      <c r="A35" s="8">
        <v>2028</v>
      </c>
      <c r="B35" s="7">
        <v>504</v>
      </c>
      <c r="C35" s="7">
        <v>713990</v>
      </c>
      <c r="D35">
        <v>1.1607110481712799</v>
      </c>
      <c r="E35" s="8"/>
      <c r="F35" s="8"/>
    </row>
    <row r="36" spans="1:6" x14ac:dyDescent="0.25">
      <c r="A36" s="8">
        <v>2029</v>
      </c>
      <c r="B36" s="7">
        <v>504</v>
      </c>
      <c r="C36" s="7">
        <v>713990</v>
      </c>
      <c r="D36">
        <v>1.1751968748109798</v>
      </c>
      <c r="E36" s="8"/>
      <c r="F36" s="8"/>
    </row>
    <row r="37" spans="1:6" x14ac:dyDescent="0.25">
      <c r="A37" s="8">
        <v>2030</v>
      </c>
      <c r="B37" s="7">
        <v>504</v>
      </c>
      <c r="C37" s="7">
        <v>713990</v>
      </c>
      <c r="D37">
        <v>1.18986657951373</v>
      </c>
      <c r="E37" s="8"/>
      <c r="F37" s="8"/>
    </row>
  </sheetData>
  <mergeCells count="3">
    <mergeCell ref="H25:I25"/>
    <mergeCell ref="K25:L25"/>
    <mergeCell ref="N25:O2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Northeast Fisheries Science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Geret.DePiper</dc:creator>
  <cp:lastModifiedBy>Gregory Ardini</cp:lastModifiedBy>
  <dcterms:created xsi:type="dcterms:W3CDTF">2025-05-20T14:27:13Z</dcterms:created>
  <dcterms:modified xsi:type="dcterms:W3CDTF">2026-03-06T19:48:06Z</dcterms:modified>
</cp:coreProperties>
</file>